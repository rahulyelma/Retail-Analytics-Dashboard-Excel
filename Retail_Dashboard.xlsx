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4DA0A846-E3D1-449C-A5C3-E9D4A0D0F5D9}" xr6:coauthVersionLast="47" xr6:coauthVersionMax="47" xr10:uidLastSave="{00000000-0000-0000-0000-000000000000}"/>
  <bookViews>
    <workbookView xWindow="-120" yWindow="-120" windowWidth="20730" windowHeight="11160" activeTab="4" xr2:uid="{9D101D81-6326-4091-8386-BB66AAD94970}"/>
  </bookViews>
  <sheets>
    <sheet name="pivot table 2" sheetId="5" r:id="rId1"/>
    <sheet name="Pivot table 1" sheetId="6" r:id="rId2"/>
    <sheet name="pivot table 3" sheetId="7" r:id="rId3"/>
    <sheet name="Mini Dashboard" sheetId="1" r:id="rId4"/>
    <sheet name="Dashboard" sheetId="2" r:id="rId5"/>
  </sheets>
  <definedNames>
    <definedName name="Slicer_Category">#N/A</definedName>
    <definedName name="Slicer_Region">#N/A</definedName>
    <definedName name="Slicer_Segment">#N/A</definedName>
  </definedNames>
  <calcPr calcId="0"/>
  <pivotCaches>
    <pivotCache cacheId="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 i="2" l="1"/>
  <c r="C2" i="2"/>
  <c r="B2" i="2"/>
  <c r="A2" i="2"/>
  <c r="K3" i="1"/>
  <c r="K4" i="1"/>
  <c r="K5" i="1"/>
  <c r="K6" i="1"/>
  <c r="K7" i="1"/>
  <c r="K8" i="1"/>
  <c r="K9" i="1"/>
  <c r="K10" i="1"/>
  <c r="K11" i="1"/>
  <c r="K2" i="1"/>
</calcChain>
</file>

<file path=xl/sharedStrings.xml><?xml version="1.0" encoding="utf-8"?>
<sst xmlns="http://schemas.openxmlformats.org/spreadsheetml/2006/main" count="94" uniqueCount="59">
  <si>
    <t>Order ID</t>
  </si>
  <si>
    <t>Order Date</t>
  </si>
  <si>
    <t>Customer Name</t>
  </si>
  <si>
    <t>Category</t>
  </si>
  <si>
    <t>Sub-Category</t>
  </si>
  <si>
    <t>Sales</t>
  </si>
  <si>
    <t>Profit</t>
  </si>
  <si>
    <t>Quantity</t>
  </si>
  <si>
    <t>Region</t>
  </si>
  <si>
    <t>Segment</t>
  </si>
  <si>
    <t>CA-2025-001</t>
  </si>
  <si>
    <t>Rahul Sharma</t>
  </si>
  <si>
    <t>Furniture</t>
  </si>
  <si>
    <t>Chairs</t>
  </si>
  <si>
    <t>West</t>
  </si>
  <si>
    <t>Consumer</t>
  </si>
  <si>
    <t>CA-2025-002</t>
  </si>
  <si>
    <t>Priya Mehta</t>
  </si>
  <si>
    <t>Office Sup</t>
  </si>
  <si>
    <t>Binders</t>
  </si>
  <si>
    <t>East</t>
  </si>
  <si>
    <t>Corporate</t>
  </si>
  <si>
    <t>CA-2025-003</t>
  </si>
  <si>
    <t>Arjun Reddy</t>
  </si>
  <si>
    <t>Technology</t>
  </si>
  <si>
    <t>Phones</t>
  </si>
  <si>
    <t>South</t>
  </si>
  <si>
    <t>CA-2025-004</t>
  </si>
  <si>
    <t>Sneha Gupta</t>
  </si>
  <si>
    <t>Tables</t>
  </si>
  <si>
    <t>Central</t>
  </si>
  <si>
    <t>CA-2025-005</t>
  </si>
  <si>
    <t>Vikram Singh</t>
  </si>
  <si>
    <t>Paper</t>
  </si>
  <si>
    <t>CA-2025-006</t>
  </si>
  <si>
    <t>Ananya Rao</t>
  </si>
  <si>
    <t>Laptops</t>
  </si>
  <si>
    <t>CA-2025-007</t>
  </si>
  <si>
    <t>Karan Patel</t>
  </si>
  <si>
    <t>Bookcases</t>
  </si>
  <si>
    <t>CA-2025-008</t>
  </si>
  <si>
    <t>Neha Verma</t>
  </si>
  <si>
    <t>Storage</t>
  </si>
  <si>
    <t>CA-2025-009</t>
  </si>
  <si>
    <t>Rohit Kumar</t>
  </si>
  <si>
    <t>Accessories</t>
  </si>
  <si>
    <t>CA-2025-010</t>
  </si>
  <si>
    <t>Meera Joshi</t>
  </si>
  <si>
    <t>Furnishings</t>
  </si>
  <si>
    <t>Home Off</t>
  </si>
  <si>
    <t>profit margin</t>
  </si>
  <si>
    <t>Total Sales</t>
  </si>
  <si>
    <t>Total Orders</t>
  </si>
  <si>
    <t xml:space="preserve">Total Profit </t>
  </si>
  <si>
    <t>Profit Percentage</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</si>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</sst>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xf numFmtId="9" fontId="18"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 2!PivotTable3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Total</c:v>
                </c:pt>
              </c:strCache>
            </c:strRef>
          </c:tx>
          <c:spPr>
            <a:solidFill>
              <a:schemeClr val="accent1"/>
            </a:solidFill>
            <a:ln>
              <a:noFill/>
            </a:ln>
            <a:effectLst/>
          </c:spPr>
          <c:invertIfNegative val="0"/>
          <c:cat>
            <c:strRef>
              <c:f>'pivot table 2'!$A$4:$A$8</c:f>
              <c:strCache>
                <c:ptCount val="4"/>
                <c:pt idx="0">
                  <c:v>Central</c:v>
                </c:pt>
                <c:pt idx="1">
                  <c:v>East</c:v>
                </c:pt>
                <c:pt idx="2">
                  <c:v>South</c:v>
                </c:pt>
                <c:pt idx="3">
                  <c:v>West</c:v>
                </c:pt>
              </c:strCache>
            </c:strRef>
          </c:cat>
          <c:val>
            <c:numRef>
              <c:f>'pivot table 2'!$B$4:$B$8</c:f>
              <c:numCache>
                <c:formatCode>General</c:formatCode>
                <c:ptCount val="4"/>
                <c:pt idx="0">
                  <c:v>900</c:v>
                </c:pt>
                <c:pt idx="1">
                  <c:v>670</c:v>
                </c:pt>
                <c:pt idx="2">
                  <c:v>3200</c:v>
                </c:pt>
                <c:pt idx="3">
                  <c:v>5950</c:v>
                </c:pt>
              </c:numCache>
            </c:numRef>
          </c:val>
          <c:extLst>
            <c:ext xmlns:c16="http://schemas.microsoft.com/office/drawing/2014/chart" uri="{C3380CC4-5D6E-409C-BE32-E72D297353CC}">
              <c16:uniqueId val="{00000000-864C-4FEE-B581-09DD45BC4C2A}"/>
            </c:ext>
          </c:extLst>
        </c:ser>
        <c:dLbls>
          <c:showLegendKey val="0"/>
          <c:showVal val="0"/>
          <c:showCatName val="0"/>
          <c:showSerName val="0"/>
          <c:showPercent val="0"/>
          <c:showBubbleSize val="0"/>
        </c:dLbls>
        <c:gapWidth val="219"/>
        <c:overlap val="-27"/>
        <c:axId val="415383032"/>
        <c:axId val="415379432"/>
      </c:barChart>
      <c:catAx>
        <c:axId val="415383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79432"/>
        <c:crosses val="autoZero"/>
        <c:auto val="1"/>
        <c:lblAlgn val="ctr"/>
        <c:lblOffset val="100"/>
        <c:noMultiLvlLbl val="0"/>
      </c:catAx>
      <c:valAx>
        <c:axId val="415379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83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 1!PivotTable4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c:f>
              <c:strCache>
                <c:ptCount val="1"/>
                <c:pt idx="0">
                  <c:v>Total</c:v>
                </c:pt>
              </c:strCache>
            </c:strRef>
          </c:tx>
          <c:spPr>
            <a:solidFill>
              <a:schemeClr val="accent1"/>
            </a:solidFill>
            <a:ln>
              <a:noFill/>
            </a:ln>
            <a:effectLst/>
          </c:spPr>
          <c:invertIfNegative val="0"/>
          <c:cat>
            <c:strRef>
              <c:f>'Pivot table 1'!$A$4:$A$7</c:f>
              <c:strCache>
                <c:ptCount val="3"/>
                <c:pt idx="0">
                  <c:v>Furniture</c:v>
                </c:pt>
                <c:pt idx="1">
                  <c:v>Office Sup</c:v>
                </c:pt>
                <c:pt idx="2">
                  <c:v>Technology</c:v>
                </c:pt>
              </c:strCache>
            </c:strRef>
          </c:cat>
          <c:val>
            <c:numRef>
              <c:f>'Pivot table 1'!$B$4:$B$7</c:f>
              <c:numCache>
                <c:formatCode>General</c:formatCode>
                <c:ptCount val="3"/>
                <c:pt idx="0">
                  <c:v>21000</c:v>
                </c:pt>
                <c:pt idx="1">
                  <c:v>4300</c:v>
                </c:pt>
                <c:pt idx="2">
                  <c:v>48800</c:v>
                </c:pt>
              </c:numCache>
            </c:numRef>
          </c:val>
          <c:extLst>
            <c:ext xmlns:c16="http://schemas.microsoft.com/office/drawing/2014/chart" uri="{C3380CC4-5D6E-409C-BE32-E72D297353CC}">
              <c16:uniqueId val="{00000000-C581-4266-A467-CE94DB3BCCC1}"/>
            </c:ext>
          </c:extLst>
        </c:ser>
        <c:dLbls>
          <c:showLegendKey val="0"/>
          <c:showVal val="0"/>
          <c:showCatName val="0"/>
          <c:showSerName val="0"/>
          <c:showPercent val="0"/>
          <c:showBubbleSize val="0"/>
        </c:dLbls>
        <c:gapWidth val="219"/>
        <c:overlap val="-27"/>
        <c:axId val="524948192"/>
        <c:axId val="524948912"/>
      </c:barChart>
      <c:catAx>
        <c:axId val="52494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48912"/>
        <c:crosses val="autoZero"/>
        <c:auto val="1"/>
        <c:lblAlgn val="ctr"/>
        <c:lblOffset val="100"/>
        <c:noMultiLvlLbl val="0"/>
      </c:catAx>
      <c:valAx>
        <c:axId val="52494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4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 3!PivotTable5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c:f>
              <c:strCache>
                <c:ptCount val="1"/>
                <c:pt idx="0">
                  <c:v>Total</c:v>
                </c:pt>
              </c:strCache>
            </c:strRef>
          </c:tx>
          <c:spPr>
            <a:solidFill>
              <a:schemeClr val="accent1"/>
            </a:solidFill>
            <a:ln>
              <a:noFill/>
            </a:ln>
            <a:effectLst/>
          </c:spPr>
          <c:invertIfNegative val="0"/>
          <c:cat>
            <c:strRef>
              <c:f>'pivot table 3'!$A$4:$A$7</c:f>
              <c:strCache>
                <c:ptCount val="3"/>
                <c:pt idx="0">
                  <c:v>Consumer</c:v>
                </c:pt>
                <c:pt idx="1">
                  <c:v>Corporate</c:v>
                </c:pt>
                <c:pt idx="2">
                  <c:v>Home Off</c:v>
                </c:pt>
              </c:strCache>
            </c:strRef>
          </c:cat>
          <c:val>
            <c:numRef>
              <c:f>'pivot table 3'!$B$4:$B$7</c:f>
              <c:numCache>
                <c:formatCode>General</c:formatCode>
                <c:ptCount val="3"/>
                <c:pt idx="0">
                  <c:v>26900</c:v>
                </c:pt>
                <c:pt idx="1">
                  <c:v>36700</c:v>
                </c:pt>
                <c:pt idx="2">
                  <c:v>10500</c:v>
                </c:pt>
              </c:numCache>
            </c:numRef>
          </c:val>
          <c:extLst>
            <c:ext xmlns:c16="http://schemas.microsoft.com/office/drawing/2014/chart" uri="{C3380CC4-5D6E-409C-BE32-E72D297353CC}">
              <c16:uniqueId val="{00000000-6275-44AD-9504-0BE121C68530}"/>
            </c:ext>
          </c:extLst>
        </c:ser>
        <c:dLbls>
          <c:showLegendKey val="0"/>
          <c:showVal val="0"/>
          <c:showCatName val="0"/>
          <c:showSerName val="0"/>
          <c:showPercent val="0"/>
          <c:showBubbleSize val="0"/>
        </c:dLbls>
        <c:gapWidth val="219"/>
        <c:overlap val="-27"/>
        <c:axId val="529686944"/>
        <c:axId val="529689824"/>
      </c:barChart>
      <c:catAx>
        <c:axId val="52968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89824"/>
        <c:crosses val="autoZero"/>
        <c:auto val="1"/>
        <c:lblAlgn val="ctr"/>
        <c:lblOffset val="100"/>
        <c:noMultiLvlLbl val="0"/>
      </c:catAx>
      <c:valAx>
        <c:axId val="52968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8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 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c:f>
              <c:strCache>
                <c:ptCount val="1"/>
                <c:pt idx="0">
                  <c:v>Total</c:v>
                </c:pt>
              </c:strCache>
            </c:strRef>
          </c:tx>
          <c:spPr>
            <a:solidFill>
              <a:schemeClr val="accent1"/>
            </a:solidFill>
            <a:ln>
              <a:noFill/>
            </a:ln>
            <a:effectLst/>
          </c:spPr>
          <c:invertIfNegative val="0"/>
          <c:cat>
            <c:strRef>
              <c:f>'Pivot table 1'!$A$4:$A$7</c:f>
              <c:strCache>
                <c:ptCount val="3"/>
                <c:pt idx="0">
                  <c:v>Furniture</c:v>
                </c:pt>
                <c:pt idx="1">
                  <c:v>Office Sup</c:v>
                </c:pt>
                <c:pt idx="2">
                  <c:v>Technology</c:v>
                </c:pt>
              </c:strCache>
            </c:strRef>
          </c:cat>
          <c:val>
            <c:numRef>
              <c:f>'Pivot table 1'!$B$4:$B$7</c:f>
              <c:numCache>
                <c:formatCode>General</c:formatCode>
                <c:ptCount val="3"/>
                <c:pt idx="0">
                  <c:v>21000</c:v>
                </c:pt>
                <c:pt idx="1">
                  <c:v>4300</c:v>
                </c:pt>
                <c:pt idx="2">
                  <c:v>48800</c:v>
                </c:pt>
              </c:numCache>
            </c:numRef>
          </c:val>
          <c:extLst>
            <c:ext xmlns:c16="http://schemas.microsoft.com/office/drawing/2014/chart" uri="{C3380CC4-5D6E-409C-BE32-E72D297353CC}">
              <c16:uniqueId val="{00000000-839A-4F7F-BC67-8D695990C0CC}"/>
            </c:ext>
          </c:extLst>
        </c:ser>
        <c:dLbls>
          <c:showLegendKey val="0"/>
          <c:showVal val="0"/>
          <c:showCatName val="0"/>
          <c:showSerName val="0"/>
          <c:showPercent val="0"/>
          <c:showBubbleSize val="0"/>
        </c:dLbls>
        <c:gapWidth val="219"/>
        <c:overlap val="-27"/>
        <c:axId val="524948192"/>
        <c:axId val="524948912"/>
      </c:barChart>
      <c:catAx>
        <c:axId val="52494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48912"/>
        <c:crosses val="autoZero"/>
        <c:auto val="1"/>
        <c:lblAlgn val="ctr"/>
        <c:lblOffset val="100"/>
        <c:noMultiLvlLbl val="0"/>
      </c:catAx>
      <c:valAx>
        <c:axId val="52494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4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 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Total</c:v>
                </c:pt>
              </c:strCache>
            </c:strRef>
          </c:tx>
          <c:spPr>
            <a:solidFill>
              <a:schemeClr val="accent1"/>
            </a:solidFill>
            <a:ln>
              <a:noFill/>
            </a:ln>
            <a:effectLst/>
          </c:spPr>
          <c:invertIfNegative val="0"/>
          <c:cat>
            <c:strRef>
              <c:f>'pivot table 2'!$A$4:$A$8</c:f>
              <c:strCache>
                <c:ptCount val="4"/>
                <c:pt idx="0">
                  <c:v>Central</c:v>
                </c:pt>
                <c:pt idx="1">
                  <c:v>East</c:v>
                </c:pt>
                <c:pt idx="2">
                  <c:v>South</c:v>
                </c:pt>
                <c:pt idx="3">
                  <c:v>West</c:v>
                </c:pt>
              </c:strCache>
            </c:strRef>
          </c:cat>
          <c:val>
            <c:numRef>
              <c:f>'pivot table 2'!$B$4:$B$8</c:f>
              <c:numCache>
                <c:formatCode>General</c:formatCode>
                <c:ptCount val="4"/>
                <c:pt idx="0">
                  <c:v>900</c:v>
                </c:pt>
                <c:pt idx="1">
                  <c:v>670</c:v>
                </c:pt>
                <c:pt idx="2">
                  <c:v>3200</c:v>
                </c:pt>
                <c:pt idx="3">
                  <c:v>5950</c:v>
                </c:pt>
              </c:numCache>
            </c:numRef>
          </c:val>
          <c:extLst>
            <c:ext xmlns:c16="http://schemas.microsoft.com/office/drawing/2014/chart" uri="{C3380CC4-5D6E-409C-BE32-E72D297353CC}">
              <c16:uniqueId val="{00000000-718F-4027-9073-2628F6FE4594}"/>
            </c:ext>
          </c:extLst>
        </c:ser>
        <c:dLbls>
          <c:showLegendKey val="0"/>
          <c:showVal val="0"/>
          <c:showCatName val="0"/>
          <c:showSerName val="0"/>
          <c:showPercent val="0"/>
          <c:showBubbleSize val="0"/>
        </c:dLbls>
        <c:gapWidth val="219"/>
        <c:overlap val="-27"/>
        <c:axId val="415383032"/>
        <c:axId val="415379432"/>
      </c:barChart>
      <c:catAx>
        <c:axId val="415383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79432"/>
        <c:crosses val="autoZero"/>
        <c:auto val="1"/>
        <c:lblAlgn val="ctr"/>
        <c:lblOffset val="100"/>
        <c:noMultiLvlLbl val="0"/>
      </c:catAx>
      <c:valAx>
        <c:axId val="415379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83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 table 3!PivotTable5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c:f>
              <c:strCache>
                <c:ptCount val="1"/>
                <c:pt idx="0">
                  <c:v>Total</c:v>
                </c:pt>
              </c:strCache>
            </c:strRef>
          </c:tx>
          <c:spPr>
            <a:solidFill>
              <a:schemeClr val="accent1"/>
            </a:solidFill>
            <a:ln>
              <a:noFill/>
            </a:ln>
            <a:effectLst/>
          </c:spPr>
          <c:invertIfNegative val="0"/>
          <c:cat>
            <c:strRef>
              <c:f>'pivot table 3'!$A$4:$A$7</c:f>
              <c:strCache>
                <c:ptCount val="3"/>
                <c:pt idx="0">
                  <c:v>Consumer</c:v>
                </c:pt>
                <c:pt idx="1">
                  <c:v>Corporate</c:v>
                </c:pt>
                <c:pt idx="2">
                  <c:v>Home Off</c:v>
                </c:pt>
              </c:strCache>
            </c:strRef>
          </c:cat>
          <c:val>
            <c:numRef>
              <c:f>'pivot table 3'!$B$4:$B$7</c:f>
              <c:numCache>
                <c:formatCode>General</c:formatCode>
                <c:ptCount val="3"/>
                <c:pt idx="0">
                  <c:v>26900</c:v>
                </c:pt>
                <c:pt idx="1">
                  <c:v>36700</c:v>
                </c:pt>
                <c:pt idx="2">
                  <c:v>10500</c:v>
                </c:pt>
              </c:numCache>
            </c:numRef>
          </c:val>
          <c:extLst>
            <c:ext xmlns:c16="http://schemas.microsoft.com/office/drawing/2014/chart" uri="{C3380CC4-5D6E-409C-BE32-E72D297353CC}">
              <c16:uniqueId val="{00000000-8F74-407D-9C0F-711E70A1CF1D}"/>
            </c:ext>
          </c:extLst>
        </c:ser>
        <c:dLbls>
          <c:showLegendKey val="0"/>
          <c:showVal val="0"/>
          <c:showCatName val="0"/>
          <c:showSerName val="0"/>
          <c:showPercent val="0"/>
          <c:showBubbleSize val="0"/>
        </c:dLbls>
        <c:gapWidth val="219"/>
        <c:overlap val="-27"/>
        <c:axId val="529686944"/>
        <c:axId val="529689824"/>
      </c:barChart>
      <c:catAx>
        <c:axId val="52968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89824"/>
        <c:crosses val="autoZero"/>
        <c:auto val="1"/>
        <c:lblAlgn val="ctr"/>
        <c:lblOffset val="100"/>
        <c:noMultiLvlLbl val="0"/>
      </c:catAx>
      <c:valAx>
        <c:axId val="52968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8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133350</xdr:rowOff>
    </xdr:from>
    <xdr:to>
      <xdr:col>10</xdr:col>
      <xdr:colOff>304800</xdr:colOff>
      <xdr:row>17</xdr:row>
      <xdr:rowOff>19050</xdr:rowOff>
    </xdr:to>
    <xdr:graphicFrame macro="">
      <xdr:nvGraphicFramePr>
        <xdr:cNvPr id="2" name="Chart 1">
          <a:extLst>
            <a:ext uri="{FF2B5EF4-FFF2-40B4-BE49-F238E27FC236}">
              <a16:creationId xmlns:a16="http://schemas.microsoft.com/office/drawing/2014/main" id="{3116C896-21DE-8C93-AF8F-853182FC6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2</xdr:row>
      <xdr:rowOff>133350</xdr:rowOff>
    </xdr:from>
    <xdr:to>
      <xdr:col>10</xdr:col>
      <xdr:colOff>333375</xdr:colOff>
      <xdr:row>17</xdr:row>
      <xdr:rowOff>19050</xdr:rowOff>
    </xdr:to>
    <xdr:graphicFrame macro="">
      <xdr:nvGraphicFramePr>
        <xdr:cNvPr id="2" name="Chart 1">
          <a:extLst>
            <a:ext uri="{FF2B5EF4-FFF2-40B4-BE49-F238E27FC236}">
              <a16:creationId xmlns:a16="http://schemas.microsoft.com/office/drawing/2014/main" id="{7FDE3B6C-B806-3B87-2E70-2BF4BE62E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409575</xdr:colOff>
      <xdr:row>2</xdr:row>
      <xdr:rowOff>66675</xdr:rowOff>
    </xdr:from>
    <xdr:to>
      <xdr:col>13</xdr:col>
      <xdr:colOff>409575</xdr:colOff>
      <xdr:row>15</xdr:row>
      <xdr:rowOff>114300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8330C0AA-7466-EED8-A7E7-93E8109C2A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72300" y="447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xdr:colOff>
      <xdr:row>2</xdr:row>
      <xdr:rowOff>142875</xdr:rowOff>
    </xdr:from>
    <xdr:to>
      <xdr:col>17</xdr:col>
      <xdr:colOff>9525</xdr:colOff>
      <xdr:row>16</xdr:row>
      <xdr:rowOff>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F31AD055-16C1-6CD0-DE6D-75BD4DD2394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010650" y="523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76200</xdr:colOff>
      <xdr:row>2</xdr:row>
      <xdr:rowOff>76200</xdr:rowOff>
    </xdr:from>
    <xdr:to>
      <xdr:col>20</xdr:col>
      <xdr:colOff>76200</xdr:colOff>
      <xdr:row>15</xdr:row>
      <xdr:rowOff>123825</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87BEA605-37AA-E136-EAF3-F6F77D4D8CC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906125" y="45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476250</xdr:colOff>
      <xdr:row>2</xdr:row>
      <xdr:rowOff>133350</xdr:rowOff>
    </xdr:from>
    <xdr:to>
      <xdr:col>13</xdr:col>
      <xdr:colOff>171450</xdr:colOff>
      <xdr:row>17</xdr:row>
      <xdr:rowOff>19050</xdr:rowOff>
    </xdr:to>
    <xdr:graphicFrame macro="">
      <xdr:nvGraphicFramePr>
        <xdr:cNvPr id="2" name="Chart 1">
          <a:extLst>
            <a:ext uri="{FF2B5EF4-FFF2-40B4-BE49-F238E27FC236}">
              <a16:creationId xmlns:a16="http://schemas.microsoft.com/office/drawing/2014/main" id="{32AEBFB0-44C0-A56D-4FD9-5451B9D16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4</xdr:row>
      <xdr:rowOff>0</xdr:rowOff>
    </xdr:from>
    <xdr:to>
      <xdr:col>3</xdr:col>
      <xdr:colOff>1098176</xdr:colOff>
      <xdr:row>18</xdr:row>
      <xdr:rowOff>76200</xdr:rowOff>
    </xdr:to>
    <xdr:graphicFrame macro="">
      <xdr:nvGraphicFramePr>
        <xdr:cNvPr id="2" name="Chart 1">
          <a:extLst>
            <a:ext uri="{FF2B5EF4-FFF2-40B4-BE49-F238E27FC236}">
              <a16:creationId xmlns:a16="http://schemas.microsoft.com/office/drawing/2014/main" id="{1CBF08B3-073C-40B4-8844-96EEAAEC7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1322293</xdr:colOff>
      <xdr:row>4</xdr:row>
      <xdr:rowOff>22411</xdr:rowOff>
    </xdr:from>
    <xdr:to>
      <xdr:col>10</xdr:col>
      <xdr:colOff>540123</xdr:colOff>
      <xdr:row>18</xdr:row>
      <xdr:rowOff>98611</xdr:rowOff>
    </xdr:to>
    <xdr:graphicFrame macro="">
      <xdr:nvGraphicFramePr>
        <xdr:cNvPr id="3" name="Chart 2">
          <a:extLst>
            <a:ext uri="{FF2B5EF4-FFF2-40B4-BE49-F238E27FC236}">
              <a16:creationId xmlns:a16="http://schemas.microsoft.com/office/drawing/2014/main" id="{1A311BE2-4DAA-4486-9BFD-686CA87DB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20</xdr:row>
      <xdr:rowOff>0</xdr:rowOff>
    </xdr:from>
    <xdr:to>
      <xdr:col>4</xdr:col>
      <xdr:colOff>190500</xdr:colOff>
      <xdr:row>34</xdr:row>
      <xdr:rowOff>76200</xdr:rowOff>
    </xdr:to>
    <xdr:graphicFrame macro="">
      <xdr:nvGraphicFramePr>
        <xdr:cNvPr id="4" name="Chart 3">
          <a:extLst>
            <a:ext uri="{FF2B5EF4-FFF2-40B4-BE49-F238E27FC236}">
              <a16:creationId xmlns:a16="http://schemas.microsoft.com/office/drawing/2014/main" id="{CB228682-C679-4B58-B5E2-9F5C6DE8D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4</xdr:row>
      <xdr:rowOff>44824</xdr:rowOff>
    </xdr:from>
    <xdr:to>
      <xdr:col>15</xdr:col>
      <xdr:colOff>0</xdr:colOff>
      <xdr:row>17</xdr:row>
      <xdr:rowOff>92449</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229C6E5A-5315-447F-9FD2-83B7F97BABA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906000" y="945369"/>
              <a:ext cx="1818409"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145678</xdr:colOff>
      <xdr:row>4</xdr:row>
      <xdr:rowOff>33618</xdr:rowOff>
    </xdr:from>
    <xdr:to>
      <xdr:col>18</xdr:col>
      <xdr:colOff>145678</xdr:colOff>
      <xdr:row>17</xdr:row>
      <xdr:rowOff>81243</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F312D800-1578-4A52-94A7-87311AF5189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870087" y="934163"/>
              <a:ext cx="1818409"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291353</xdr:colOff>
      <xdr:row>4</xdr:row>
      <xdr:rowOff>44823</xdr:rowOff>
    </xdr:from>
    <xdr:to>
      <xdr:col>21</xdr:col>
      <xdr:colOff>291353</xdr:colOff>
      <xdr:row>17</xdr:row>
      <xdr:rowOff>92448</xdr:rowOff>
    </xdr:to>
    <mc:AlternateContent xmlns:mc="http://schemas.openxmlformats.org/markup-compatibility/2006">
      <mc:Choice xmlns:a14="http://schemas.microsoft.com/office/drawing/2010/main" Requires="a14">
        <xdr:graphicFrame macro="">
          <xdr:nvGraphicFramePr>
            <xdr:cNvPr id="7" name="Segment 1">
              <a:extLst>
                <a:ext uri="{FF2B5EF4-FFF2-40B4-BE49-F238E27FC236}">
                  <a16:creationId xmlns:a16="http://schemas.microsoft.com/office/drawing/2014/main" id="{006DD1F2-5627-45C1-808C-B8D364AEBC4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3834171" y="945368"/>
              <a:ext cx="1818409"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9.664542013888" createdVersion="8" refreshedVersion="8" minRefreshableVersion="3" recordCount="10" xr:uid="{FF91838D-7361-4EA9-87A6-4AAA4A370EBD}">
  <cacheSource type="worksheet">
    <worksheetSource ref="A1:K11" sheet="Mini Dashboard"/>
  </cacheSource>
  <cacheFields count="11">
    <cacheField name="Order ID" numFmtId="0">
      <sharedItems/>
    </cacheField>
    <cacheField name="Order Date" numFmtId="14">
      <sharedItems containsSemiMixedTypes="0" containsNonDate="0" containsDate="1" containsString="0" minDate="2025-01-01T00:00:00" maxDate="2025-01-23T00:00:00"/>
    </cacheField>
    <cacheField name="Customer Name" numFmtId="0">
      <sharedItems/>
    </cacheField>
    <cacheField name="Category" numFmtId="0">
      <sharedItems count="3">
        <s v="Furniture"/>
        <s v="Office Sup"/>
        <s v="Technology"/>
      </sharedItems>
    </cacheField>
    <cacheField name="Sub-Category" numFmtId="0">
      <sharedItems/>
    </cacheField>
    <cacheField name="Sales" numFmtId="0">
      <sharedItems containsSemiMixedTypes="0" containsString="0" containsNumber="1" containsInteger="1" minValue="600" maxValue="32000"/>
    </cacheField>
    <cacheField name="Profit" numFmtId="0">
      <sharedItems containsSemiMixedTypes="0" containsString="0" containsNumber="1" containsInteger="1" minValue="120" maxValue="4500"/>
    </cacheField>
    <cacheField name="Quantity" numFmtId="0">
      <sharedItems containsSemiMixedTypes="0" containsString="0" containsNumber="1" containsInteger="1" minValue="2" maxValue="20"/>
    </cacheField>
    <cacheField name="Region" numFmtId="0">
      <sharedItems count="4">
        <s v="West"/>
        <s v="East"/>
        <s v="South"/>
        <s v="Central"/>
      </sharedItems>
    </cacheField>
    <cacheField name="Segment" numFmtId="0">
      <sharedItems count="3">
        <s v="Consumer"/>
        <s v="Corporate"/>
        <s v="Home Off"/>
      </sharedItems>
    </cacheField>
    <cacheField name="profit margin" numFmtId="9">
      <sharedItems containsSemiMixedTypes="0" containsString="0" containsNumber="1" minValue="0.13239700374531835" maxValue="0.17142857142857143"/>
    </cacheField>
  </cacheFields>
  <extLst>
    <ext xmlns:x14="http://schemas.microsoft.com/office/spreadsheetml/2009/9/main" uri="{725AE2AE-9491-48be-B2B4-4EB974FC3084}">
      <x14:pivotCacheDefinition pivotCacheId="347659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CA-2025-001"/>
    <d v="2025-01-01T00:00:00"/>
    <s v="Rahul Sharma"/>
    <x v="0"/>
    <s v="Chairs"/>
    <n v="4500"/>
    <n v="850"/>
    <n v="5"/>
    <x v="0"/>
    <x v="0"/>
    <n v="0.14466936572199729"/>
  </r>
  <r>
    <s v="CA-2025-002"/>
    <d v="2025-01-03T00:00:00"/>
    <s v="Priya Mehta"/>
    <x v="1"/>
    <s v="Binders"/>
    <n v="1200"/>
    <n v="300"/>
    <n v="10"/>
    <x v="1"/>
    <x v="1"/>
    <n v="0.1418103448275862"/>
  </r>
  <r>
    <s v="CA-2025-003"/>
    <d v="2025-01-05T00:00:00"/>
    <s v="Arjun Reddy"/>
    <x v="2"/>
    <s v="Phones"/>
    <n v="15000"/>
    <n v="2500"/>
    <n v="7"/>
    <x v="2"/>
    <x v="0"/>
    <n v="0.13991228070175438"/>
  </r>
  <r>
    <s v="CA-2025-004"/>
    <d v="2025-01-07T00:00:00"/>
    <s v="Sneha Gupta"/>
    <x v="0"/>
    <s v="Tables"/>
    <n v="8000"/>
    <n v="500"/>
    <n v="2"/>
    <x v="3"/>
    <x v="2"/>
    <n v="0.13239700374531835"/>
  </r>
  <r>
    <s v="CA-2025-005"/>
    <d v="2025-01-10T00:00:00"/>
    <s v="Vikram Singh"/>
    <x v="1"/>
    <s v="Paper"/>
    <n v="600"/>
    <n v="120"/>
    <n v="20"/>
    <x v="1"/>
    <x v="0"/>
    <n v="0.1447136563876652"/>
  </r>
  <r>
    <s v="CA-2025-006"/>
    <d v="2025-01-12T00:00:00"/>
    <s v="Ananya Rao"/>
    <x v="2"/>
    <s v="Laptops"/>
    <n v="32000"/>
    <n v="4500"/>
    <n v="4"/>
    <x v="0"/>
    <x v="1"/>
    <n v="0.14397321428571427"/>
  </r>
  <r>
    <s v="CA-2025-007"/>
    <d v="2025-01-15T00:00:00"/>
    <s v="Karan Patel"/>
    <x v="0"/>
    <s v="Bookcases"/>
    <n v="5000"/>
    <n v="700"/>
    <n v="3"/>
    <x v="2"/>
    <x v="0"/>
    <n v="0.15234375"/>
  </r>
  <r>
    <s v="CA-2025-008"/>
    <d v="2025-01-18T00:00:00"/>
    <s v="Neha Verma"/>
    <x v="1"/>
    <s v="Storage"/>
    <n v="2500"/>
    <n v="400"/>
    <n v="6"/>
    <x v="3"/>
    <x v="2"/>
    <n v="0.16025641025641027"/>
  </r>
  <r>
    <s v="CA-2025-009"/>
    <d v="2025-01-20T00:00:00"/>
    <s v="Rohit Kumar"/>
    <x v="2"/>
    <s v="Accessories"/>
    <n v="1800"/>
    <n v="250"/>
    <n v="8"/>
    <x v="1"/>
    <x v="0"/>
    <n v="0.16037735849056603"/>
  </r>
  <r>
    <s v="CA-2025-010"/>
    <d v="2025-01-22T00:00:00"/>
    <s v="Meera Joshi"/>
    <x v="0"/>
    <s v="Furnishings"/>
    <n v="3500"/>
    <n v="600"/>
    <n v="4"/>
    <x v="0"/>
    <x v="1"/>
    <n v="0.171428571428571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D5F064-7A50-4FE7-A865-7F58BEBF69C6}"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1">
    <pivotField showAll="0"/>
    <pivotField numFmtId="14" showAll="0"/>
    <pivotField showAll="0"/>
    <pivotField showAll="0">
      <items count="4">
        <item x="0"/>
        <item x="1"/>
        <item x="2"/>
        <item t="default"/>
      </items>
    </pivotField>
    <pivotField showAll="0"/>
    <pivotField showAll="0"/>
    <pivotField dataField="1" showAll="0"/>
    <pivotField showAll="0"/>
    <pivotField axis="axisRow" showAll="0">
      <items count="5">
        <item x="3"/>
        <item x="1"/>
        <item x="2"/>
        <item x="0"/>
        <item t="default"/>
      </items>
    </pivotField>
    <pivotField showAll="0">
      <items count="4">
        <item x="0"/>
        <item x="1"/>
        <item x="2"/>
        <item t="default"/>
      </items>
    </pivotField>
    <pivotField numFmtId="9" showAll="0"/>
  </pivotFields>
  <rowFields count="1">
    <field x="8"/>
  </rowFields>
  <rowItems count="5">
    <i>
      <x/>
    </i>
    <i>
      <x v="1"/>
    </i>
    <i>
      <x v="2"/>
    </i>
    <i>
      <x v="3"/>
    </i>
    <i t="grand">
      <x/>
    </i>
  </rowItems>
  <colItems count="1">
    <i/>
  </colItems>
  <dataFields count="1">
    <dataField name="Sum of Profit" fld="6"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13471D-2BF9-4242-8DD8-7AFCC9D2EDDD}"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1">
    <pivotField showAll="0"/>
    <pivotField numFmtId="14" showAll="0"/>
    <pivotField showAll="0"/>
    <pivotField axis="axisRow" showAll="0">
      <items count="4">
        <item x="0"/>
        <item x="1"/>
        <item x="2"/>
        <item t="default"/>
      </items>
    </pivotField>
    <pivotField showAll="0"/>
    <pivotField dataField="1" showAll="0"/>
    <pivotField showAll="0"/>
    <pivotField showAll="0"/>
    <pivotField showAll="0">
      <items count="5">
        <item x="3"/>
        <item x="1"/>
        <item x="2"/>
        <item x="0"/>
        <item t="default"/>
      </items>
    </pivotField>
    <pivotField showAll="0">
      <items count="4">
        <item x="0"/>
        <item x="1"/>
        <item x="2"/>
        <item t="default"/>
      </items>
    </pivotField>
    <pivotField numFmtId="9" showAll="0"/>
  </pivotFields>
  <rowFields count="1">
    <field x="3"/>
  </rowFields>
  <rowItems count="4">
    <i>
      <x/>
    </i>
    <i>
      <x v="1"/>
    </i>
    <i>
      <x v="2"/>
    </i>
    <i t="grand">
      <x/>
    </i>
  </rowItems>
  <colItems count="1">
    <i/>
  </colItems>
  <dataFields count="1">
    <dataField name="Sum of Sales" fld="5"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C4FD1F-5ABD-497C-98A0-746BB0DDDD14}"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1">
    <pivotField showAll="0"/>
    <pivotField numFmtId="14" showAll="0"/>
    <pivotField showAll="0"/>
    <pivotField showAll="0">
      <items count="4">
        <item x="0"/>
        <item x="1"/>
        <item x="2"/>
        <item t="default"/>
      </items>
    </pivotField>
    <pivotField showAll="0"/>
    <pivotField dataField="1" showAll="0"/>
    <pivotField showAll="0"/>
    <pivotField showAll="0"/>
    <pivotField showAll="0">
      <items count="5">
        <item x="3"/>
        <item x="1"/>
        <item x="2"/>
        <item x="0"/>
        <item t="default"/>
      </items>
    </pivotField>
    <pivotField axis="axisRow" showAll="0">
      <items count="4">
        <item x="0"/>
        <item x="1"/>
        <item x="2"/>
        <item t="default"/>
      </items>
    </pivotField>
    <pivotField numFmtId="9" showAll="0"/>
  </pivotFields>
  <rowFields count="1">
    <field x="9"/>
  </rowFields>
  <rowItems count="4">
    <i>
      <x/>
    </i>
    <i>
      <x v="1"/>
    </i>
    <i>
      <x v="2"/>
    </i>
    <i t="grand">
      <x/>
    </i>
  </rowItems>
  <colItems count="1">
    <i/>
  </colItems>
  <dataFields count="1">
    <dataField name="Sum of Sales" fld="5"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28BE4F-F01B-4814-9D52-56EA31D37488}" sourceName="Region">
  <pivotTables>
    <pivotTable tabId="6" name="PivotTable4"/>
    <pivotTable tabId="5" name="PivotTable3"/>
    <pivotTable tabId="7" name="PivotTable5"/>
  </pivotTables>
  <data>
    <tabular pivotCacheId="347659016">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B79D103-D71A-455A-B78D-60B10763AFC4}" sourceName="Category">
  <pivotTables>
    <pivotTable tabId="6" name="PivotTable4"/>
    <pivotTable tabId="5" name="PivotTable3"/>
    <pivotTable tabId="7" name="PivotTable5"/>
  </pivotTables>
  <data>
    <tabular pivotCacheId="34765901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1B44802-3F1D-421C-BBD5-97CDEFD8BEA1}" sourceName="Segment">
  <pivotTables>
    <pivotTable tabId="6" name="PivotTable4"/>
    <pivotTable tabId="5" name="PivotTable3"/>
    <pivotTable tabId="7" name="PivotTable5"/>
  </pivotTables>
  <data>
    <tabular pivotCacheId="3476590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7B1E733-D481-4F0D-AC05-240DB103A496}" cache="Slicer_Region" caption="Region" rowHeight="241300"/>
  <slicer name="Category" xr10:uid="{85EBF39F-E0D1-431E-8963-D9AB420A241F}" cache="Slicer_Category" caption="Category" rowHeight="241300"/>
  <slicer name="Segment" xr10:uid="{C306F5DB-54F9-4F17-B71E-D2FCD7F95954}" cache="Slicer_Segment" caption="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486074-7AF7-4A20-8012-4FE803561882}" cache="Slicer_Region" caption="Region" rowHeight="241300"/>
  <slicer name="Category 1" xr10:uid="{AA574E1D-A798-4F04-AD94-033069989B23}" cache="Slicer_Category" caption="Category" rowHeight="241300"/>
  <slicer name="Segment 1" xr10:uid="{CC225C75-515C-4375-8098-3BEA41EA53B9}" cache="Slicer_Segment" caption="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4676F-E9C6-4F40-B4A6-09CBF5EA970B}">
  <dimension ref="A3:B8"/>
  <sheetViews>
    <sheetView workbookViewId="0">
      <selection activeCell="M11" sqref="M11"/>
    </sheetView>
  </sheetViews>
  <sheetFormatPr defaultRowHeight="15" x14ac:dyDescent="0.25"/>
  <cols>
    <col min="1" max="1" width="13.140625" bestFit="1" customWidth="1"/>
    <col min="2" max="2" width="12.5703125" bestFit="1" customWidth="1"/>
  </cols>
  <sheetData>
    <row r="3" spans="1:2" x14ac:dyDescent="0.25">
      <c r="A3" s="3" t="s">
        <v>55</v>
      </c>
      <c r="B3" t="s">
        <v>58</v>
      </c>
    </row>
    <row r="4" spans="1:2" x14ac:dyDescent="0.25">
      <c r="A4" s="4" t="s">
        <v>30</v>
      </c>
      <c r="B4" s="5">
        <v>900</v>
      </c>
    </row>
    <row r="5" spans="1:2" x14ac:dyDescent="0.25">
      <c r="A5" s="4" t="s">
        <v>20</v>
      </c>
      <c r="B5" s="5">
        <v>670</v>
      </c>
    </row>
    <row r="6" spans="1:2" x14ac:dyDescent="0.25">
      <c r="A6" s="4" t="s">
        <v>26</v>
      </c>
      <c r="B6" s="5">
        <v>3200</v>
      </c>
    </row>
    <row r="7" spans="1:2" x14ac:dyDescent="0.25">
      <c r="A7" s="4" t="s">
        <v>14</v>
      </c>
      <c r="B7" s="5">
        <v>5950</v>
      </c>
    </row>
    <row r="8" spans="1:2" x14ac:dyDescent="0.25">
      <c r="A8" s="4" t="s">
        <v>56</v>
      </c>
      <c r="B8" s="5">
        <v>10720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68FE4-ABAD-4745-8812-DE95FD59774F}">
  <dimension ref="A3:B7"/>
  <sheetViews>
    <sheetView workbookViewId="0">
      <selection activeCell="I2" sqref="I2"/>
    </sheetView>
  </sheetViews>
  <sheetFormatPr defaultRowHeight="15" x14ac:dyDescent="0.25"/>
  <cols>
    <col min="1" max="1" width="13.140625" bestFit="1" customWidth="1"/>
    <col min="2" max="2" width="12.140625" bestFit="1" customWidth="1"/>
  </cols>
  <sheetData>
    <row r="3" spans="1:2" x14ac:dyDescent="0.25">
      <c r="A3" s="3" t="s">
        <v>55</v>
      </c>
      <c r="B3" t="s">
        <v>57</v>
      </c>
    </row>
    <row r="4" spans="1:2" x14ac:dyDescent="0.25">
      <c r="A4" s="4" t="s">
        <v>12</v>
      </c>
      <c r="B4" s="5">
        <v>21000</v>
      </c>
    </row>
    <row r="5" spans="1:2" x14ac:dyDescent="0.25">
      <c r="A5" s="4" t="s">
        <v>18</v>
      </c>
      <c r="B5" s="5">
        <v>4300</v>
      </c>
    </row>
    <row r="6" spans="1:2" x14ac:dyDescent="0.25">
      <c r="A6" s="4" t="s">
        <v>24</v>
      </c>
      <c r="B6" s="5">
        <v>48800</v>
      </c>
    </row>
    <row r="7" spans="1:2" x14ac:dyDescent="0.25">
      <c r="A7" s="4" t="s">
        <v>56</v>
      </c>
      <c r="B7" s="5">
        <v>74100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AA02E-0A41-4206-98FE-0B90E9A3E4E5}">
  <dimension ref="A3:B7"/>
  <sheetViews>
    <sheetView workbookViewId="0">
      <selection activeCell="O14" sqref="O14"/>
    </sheetView>
  </sheetViews>
  <sheetFormatPr defaultRowHeight="15" x14ac:dyDescent="0.25"/>
  <cols>
    <col min="1" max="1" width="13.140625" bestFit="1" customWidth="1"/>
    <col min="2" max="2" width="12.140625" bestFit="1" customWidth="1"/>
  </cols>
  <sheetData>
    <row r="3" spans="1:2" x14ac:dyDescent="0.25">
      <c r="A3" s="3" t="s">
        <v>55</v>
      </c>
      <c r="B3" t="s">
        <v>57</v>
      </c>
    </row>
    <row r="4" spans="1:2" x14ac:dyDescent="0.25">
      <c r="A4" s="4" t="s">
        <v>15</v>
      </c>
      <c r="B4" s="5">
        <v>26900</v>
      </c>
    </row>
    <row r="5" spans="1:2" x14ac:dyDescent="0.25">
      <c r="A5" s="4" t="s">
        <v>21</v>
      </c>
      <c r="B5" s="5">
        <v>36700</v>
      </c>
    </row>
    <row r="6" spans="1:2" x14ac:dyDescent="0.25">
      <c r="A6" s="4" t="s">
        <v>49</v>
      </c>
      <c r="B6" s="5">
        <v>10500</v>
      </c>
    </row>
    <row r="7" spans="1:2" x14ac:dyDescent="0.25">
      <c r="A7" s="4" t="s">
        <v>56</v>
      </c>
      <c r="B7" s="5">
        <v>74100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7EA90-1A82-413D-97AB-6089BE2E046C}">
  <dimension ref="A1:K12"/>
  <sheetViews>
    <sheetView workbookViewId="0"/>
  </sheetViews>
  <sheetFormatPr defaultRowHeight="15" x14ac:dyDescent="0.25"/>
  <cols>
    <col min="1" max="1" width="15" customWidth="1"/>
    <col min="2" max="3" width="15.85546875" customWidth="1"/>
    <col min="4" max="4" width="14.42578125" customWidth="1"/>
    <col min="5" max="5" width="14.7109375" customWidth="1"/>
    <col min="6" max="6" width="13.85546875" customWidth="1"/>
    <col min="7" max="7" width="13.140625" customWidth="1"/>
    <col min="8" max="8" width="13" customWidth="1"/>
    <col min="9" max="9" width="13.140625" customWidth="1"/>
    <col min="10" max="10" width="13.28515625" customWidth="1"/>
  </cols>
  <sheetData>
    <row r="1" spans="1:11" x14ac:dyDescent="0.25">
      <c r="A1" t="s">
        <v>0</v>
      </c>
      <c r="B1" t="s">
        <v>1</v>
      </c>
      <c r="C1" t="s">
        <v>2</v>
      </c>
      <c r="D1" t="s">
        <v>3</v>
      </c>
      <c r="E1" t="s">
        <v>4</v>
      </c>
      <c r="F1" t="s">
        <v>5</v>
      </c>
      <c r="G1" t="s">
        <v>6</v>
      </c>
      <c r="H1" t="s">
        <v>7</v>
      </c>
      <c r="I1" t="s">
        <v>8</v>
      </c>
      <c r="J1" t="s">
        <v>9</v>
      </c>
      <c r="K1" t="s">
        <v>50</v>
      </c>
    </row>
    <row r="2" spans="1:11" x14ac:dyDescent="0.25">
      <c r="A2" t="s">
        <v>10</v>
      </c>
      <c r="B2" s="1">
        <v>45658</v>
      </c>
      <c r="C2" t="s">
        <v>11</v>
      </c>
      <c r="D2" t="s">
        <v>12</v>
      </c>
      <c r="E2" t="s">
        <v>13</v>
      </c>
      <c r="F2">
        <v>4500</v>
      </c>
      <c r="G2">
        <v>850</v>
      </c>
      <c r="H2">
        <v>5</v>
      </c>
      <c r="I2" t="s">
        <v>14</v>
      </c>
      <c r="J2" t="s">
        <v>15</v>
      </c>
      <c r="K2" s="2">
        <f>SUM(G2:G11)/SUM(F2:F11)</f>
        <v>0.14466936572199729</v>
      </c>
    </row>
    <row r="3" spans="1:11" x14ac:dyDescent="0.25">
      <c r="A3" t="s">
        <v>16</v>
      </c>
      <c r="B3" s="1">
        <v>45660</v>
      </c>
      <c r="C3" t="s">
        <v>17</v>
      </c>
      <c r="D3" t="s">
        <v>18</v>
      </c>
      <c r="E3" t="s">
        <v>19</v>
      </c>
      <c r="F3">
        <v>1200</v>
      </c>
      <c r="G3">
        <v>300</v>
      </c>
      <c r="H3">
        <v>10</v>
      </c>
      <c r="I3" t="s">
        <v>20</v>
      </c>
      <c r="J3" t="s">
        <v>21</v>
      </c>
      <c r="K3" s="2">
        <f t="shared" ref="K3:K11" si="0">SUM(G3:G12)/SUM(F3:F12)</f>
        <v>0.1418103448275862</v>
      </c>
    </row>
    <row r="4" spans="1:11" x14ac:dyDescent="0.25">
      <c r="A4" t="s">
        <v>22</v>
      </c>
      <c r="B4" s="1">
        <v>45662</v>
      </c>
      <c r="C4" t="s">
        <v>23</v>
      </c>
      <c r="D4" t="s">
        <v>24</v>
      </c>
      <c r="E4" t="s">
        <v>25</v>
      </c>
      <c r="F4">
        <v>15000</v>
      </c>
      <c r="G4">
        <v>2500</v>
      </c>
      <c r="H4">
        <v>7</v>
      </c>
      <c r="I4" t="s">
        <v>26</v>
      </c>
      <c r="J4" t="s">
        <v>15</v>
      </c>
      <c r="K4" s="2">
        <f t="shared" si="0"/>
        <v>0.13991228070175438</v>
      </c>
    </row>
    <row r="5" spans="1:11" x14ac:dyDescent="0.25">
      <c r="A5" t="s">
        <v>27</v>
      </c>
      <c r="B5" s="1">
        <v>45664</v>
      </c>
      <c r="C5" t="s">
        <v>28</v>
      </c>
      <c r="D5" t="s">
        <v>12</v>
      </c>
      <c r="E5" t="s">
        <v>29</v>
      </c>
      <c r="F5">
        <v>8000</v>
      </c>
      <c r="G5">
        <v>500</v>
      </c>
      <c r="H5">
        <v>2</v>
      </c>
      <c r="I5" t="s">
        <v>30</v>
      </c>
      <c r="J5" t="s">
        <v>49</v>
      </c>
      <c r="K5" s="2">
        <f t="shared" si="0"/>
        <v>0.13239700374531835</v>
      </c>
    </row>
    <row r="6" spans="1:11" x14ac:dyDescent="0.25">
      <c r="A6" t="s">
        <v>31</v>
      </c>
      <c r="B6" s="1">
        <v>45667</v>
      </c>
      <c r="C6" t="s">
        <v>32</v>
      </c>
      <c r="D6" t="s">
        <v>18</v>
      </c>
      <c r="E6" t="s">
        <v>33</v>
      </c>
      <c r="F6">
        <v>600</v>
      </c>
      <c r="G6">
        <v>120</v>
      </c>
      <c r="H6">
        <v>20</v>
      </c>
      <c r="I6" t="s">
        <v>20</v>
      </c>
      <c r="J6" t="s">
        <v>15</v>
      </c>
      <c r="K6" s="2">
        <f t="shared" si="0"/>
        <v>0.1447136563876652</v>
      </c>
    </row>
    <row r="7" spans="1:11" x14ac:dyDescent="0.25">
      <c r="A7" t="s">
        <v>34</v>
      </c>
      <c r="B7" s="1">
        <v>45669</v>
      </c>
      <c r="C7" t="s">
        <v>35</v>
      </c>
      <c r="D7" t="s">
        <v>24</v>
      </c>
      <c r="E7" t="s">
        <v>36</v>
      </c>
      <c r="F7">
        <v>32000</v>
      </c>
      <c r="G7">
        <v>4500</v>
      </c>
      <c r="H7">
        <v>4</v>
      </c>
      <c r="I7" t="s">
        <v>14</v>
      </c>
      <c r="J7" t="s">
        <v>21</v>
      </c>
      <c r="K7" s="2">
        <f t="shared" si="0"/>
        <v>0.14397321428571427</v>
      </c>
    </row>
    <row r="8" spans="1:11" x14ac:dyDescent="0.25">
      <c r="A8" t="s">
        <v>37</v>
      </c>
      <c r="B8" s="1">
        <v>45672</v>
      </c>
      <c r="C8" t="s">
        <v>38</v>
      </c>
      <c r="D8" t="s">
        <v>12</v>
      </c>
      <c r="E8" t="s">
        <v>39</v>
      </c>
      <c r="F8">
        <v>5000</v>
      </c>
      <c r="G8">
        <v>700</v>
      </c>
      <c r="H8">
        <v>3</v>
      </c>
      <c r="I8" t="s">
        <v>26</v>
      </c>
      <c r="J8" t="s">
        <v>15</v>
      </c>
      <c r="K8" s="2">
        <f t="shared" si="0"/>
        <v>0.15234375</v>
      </c>
    </row>
    <row r="9" spans="1:11" x14ac:dyDescent="0.25">
      <c r="A9" t="s">
        <v>40</v>
      </c>
      <c r="B9" s="1">
        <v>45675</v>
      </c>
      <c r="C9" t="s">
        <v>41</v>
      </c>
      <c r="D9" t="s">
        <v>18</v>
      </c>
      <c r="E9" t="s">
        <v>42</v>
      </c>
      <c r="F9">
        <v>2500</v>
      </c>
      <c r="G9">
        <v>400</v>
      </c>
      <c r="H9">
        <v>6</v>
      </c>
      <c r="I9" t="s">
        <v>30</v>
      </c>
      <c r="J9" t="s">
        <v>49</v>
      </c>
      <c r="K9" s="2">
        <f t="shared" si="0"/>
        <v>0.16025641025641027</v>
      </c>
    </row>
    <row r="10" spans="1:11" x14ac:dyDescent="0.25">
      <c r="A10" t="s">
        <v>43</v>
      </c>
      <c r="B10" s="1">
        <v>45677</v>
      </c>
      <c r="C10" t="s">
        <v>44</v>
      </c>
      <c r="D10" t="s">
        <v>24</v>
      </c>
      <c r="E10" t="s">
        <v>45</v>
      </c>
      <c r="F10">
        <v>1800</v>
      </c>
      <c r="G10">
        <v>250</v>
      </c>
      <c r="H10">
        <v>8</v>
      </c>
      <c r="I10" t="s">
        <v>20</v>
      </c>
      <c r="J10" t="s">
        <v>15</v>
      </c>
      <c r="K10" s="2">
        <f t="shared" si="0"/>
        <v>0.16037735849056603</v>
      </c>
    </row>
    <row r="11" spans="1:11" x14ac:dyDescent="0.25">
      <c r="A11" t="s">
        <v>46</v>
      </c>
      <c r="B11" s="1">
        <v>45679</v>
      </c>
      <c r="C11" t="s">
        <v>47</v>
      </c>
      <c r="D11" t="s">
        <v>12</v>
      </c>
      <c r="E11" t="s">
        <v>48</v>
      </c>
      <c r="F11">
        <v>3500</v>
      </c>
      <c r="G11">
        <v>600</v>
      </c>
      <c r="H11">
        <v>4</v>
      </c>
      <c r="I11" t="s">
        <v>14</v>
      </c>
      <c r="J11" t="s">
        <v>21</v>
      </c>
      <c r="K11" s="2">
        <f t="shared" si="0"/>
        <v>0.17142857142857143</v>
      </c>
    </row>
    <row r="12" spans="1:11" x14ac:dyDescent="0.25">
      <c r="K12"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665FD-BF11-498C-8D67-E2CE0EA8B3A4}">
  <dimension ref="A1:D2"/>
  <sheetViews>
    <sheetView showGridLines="0" tabSelected="1" zoomScale="55" zoomScaleNormal="55" workbookViewId="0">
      <selection activeCell="Y7" sqref="Y7"/>
    </sheetView>
  </sheetViews>
  <sheetFormatPr defaultRowHeight="15" x14ac:dyDescent="0.25"/>
  <cols>
    <col min="1" max="1" width="14.28515625" customWidth="1"/>
    <col min="2" max="2" width="17.85546875" customWidth="1"/>
    <col min="3" max="3" width="18.140625" customWidth="1"/>
    <col min="4" max="4" width="25.42578125" customWidth="1"/>
  </cols>
  <sheetData>
    <row r="1" spans="1:4" ht="21" x14ac:dyDescent="0.35">
      <c r="A1" s="6" t="s">
        <v>51</v>
      </c>
      <c r="B1" s="6" t="s">
        <v>52</v>
      </c>
      <c r="C1" s="6" t="s">
        <v>53</v>
      </c>
      <c r="D1" s="6" t="s">
        <v>54</v>
      </c>
    </row>
    <row r="2" spans="1:4" ht="21" x14ac:dyDescent="0.35">
      <c r="A2" s="6">
        <f>SUM('Mini Dashboard'!F2:F11)</f>
        <v>74100</v>
      </c>
      <c r="B2" s="6">
        <f>COUNTA('Mini Dashboard'!A2:A11)</f>
        <v>10</v>
      </c>
      <c r="C2" s="6">
        <f>SUM('Mini Dashboard'!G2:G11)</f>
        <v>10720</v>
      </c>
      <c r="D2" s="7">
        <f>C2/A2</f>
        <v>0.14466936572199729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 2</vt:lpstr>
      <vt:lpstr>Pivot table 1</vt:lpstr>
      <vt:lpstr>pivot table 3</vt:lpstr>
      <vt:lpstr>Mini Dashboard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Rahul Yelma</cp:lastModifiedBy>
  <dcterms:created xsi:type="dcterms:W3CDTF">2026-06-06T11:03:34Z</dcterms:created>
  <dcterms:modified xsi:type="dcterms:W3CDTF">2026-06-06T11:03:34Z</dcterms:modified>
</cp:coreProperties>
</file>